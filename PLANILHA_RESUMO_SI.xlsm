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GitHub\SIandNL_Macros\"/>
    </mc:Choice>
  </mc:AlternateContent>
  <xr:revisionPtr revIDLastSave="0" documentId="13_ncr:1_{2071590F-35E1-4F91-B221-001A23EB4CD1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oupname" sheetId="7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7" l="1"/>
  <c r="K8" i="7"/>
  <c r="I13" i="7" s="1"/>
  <c r="J8" i="7"/>
  <c r="I8" i="7"/>
  <c r="I10" i="7"/>
  <c r="L9" i="7"/>
  <c r="K9" i="7"/>
  <c r="K11" i="7" s="1"/>
  <c r="J9" i="7"/>
  <c r="I9" i="7"/>
  <c r="M9" i="7" l="1"/>
  <c r="M8" i="7"/>
  <c r="J11" i="7"/>
  <c r="L11" i="7"/>
  <c r="I11" i="7"/>
  <c r="I12" i="7"/>
  <c r="I15" i="7" s="1"/>
  <c r="I16" i="7" s="1"/>
  <c r="I14" i="7" l="1"/>
  <c r="B10" i="7"/>
  <c r="E9" i="7"/>
  <c r="D9" i="7"/>
  <c r="C9" i="7"/>
  <c r="B9" i="7"/>
  <c r="E8" i="7"/>
  <c r="D8" i="7"/>
  <c r="B13" i="7" s="1"/>
  <c r="C8" i="7"/>
  <c r="B8" i="7"/>
  <c r="F8" i="7" l="1"/>
  <c r="F9" i="7"/>
  <c r="E11" i="7"/>
  <c r="D11" i="7"/>
  <c r="C11" i="7"/>
  <c r="B11" i="7"/>
  <c r="B12" i="7"/>
  <c r="B15" i="7" s="1"/>
  <c r="B16" i="7" s="1"/>
  <c r="B14" i="7" l="1"/>
</calcChain>
</file>

<file path=xl/sharedStrings.xml><?xml version="1.0" encoding="utf-8"?>
<sst xmlns="http://schemas.openxmlformats.org/spreadsheetml/2006/main" count="33" uniqueCount="18">
  <si>
    <t>CV</t>
  </si>
  <si>
    <t>CV²</t>
  </si>
  <si>
    <t>CE²</t>
  </si>
  <si>
    <t>CE²/CV²</t>
  </si>
  <si>
    <t>CV²-CE²</t>
  </si>
  <si>
    <t>Number Weighted Mean Section Thickness (µm)</t>
  </si>
  <si>
    <t>Estimated Population using Number Weighted Section Thickness</t>
  </si>
  <si>
    <t>Data File</t>
  </si>
  <si>
    <t>Estimated CE (Scheaffer)</t>
  </si>
  <si>
    <t>Cell/Volume</t>
  </si>
  <si>
    <t xml:space="preserve">Measured Volume (mm³) </t>
  </si>
  <si>
    <t>Righ Hemisphere</t>
  </si>
  <si>
    <t>Left Hemisphere</t>
  </si>
  <si>
    <t>Average</t>
  </si>
  <si>
    <t>Standard Deviation</t>
  </si>
  <si>
    <t>Standard Error</t>
  </si>
  <si>
    <t>CBV²(%)</t>
  </si>
  <si>
    <t>NOTE: Click in the cell A2 before start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</si>
</sst>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2" fillId="0" borderId="4" xfId="0" applyFont="1" applyBorder="1"/>
    <xf numFmtId="0" fontId="0" fillId="0" borderId="4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" fontId="0" fillId="0" borderId="0" xfId="0" applyNumberFormat="1"/>
    <xf numFmtId="4" fontId="2" fillId="0" borderId="8" xfId="0" applyNumberFormat="1" applyFont="1" applyBorder="1"/>
    <xf numFmtId="4" fontId="0" fillId="0" borderId="8" xfId="0" applyNumberFormat="1" applyBorder="1"/>
    <xf numFmtId="4" fontId="0" fillId="0" borderId="6" xfId="0" applyNumberFormat="1" applyBorder="1"/>
    <xf numFmtId="4" fontId="0" fillId="0" borderId="0" xfId="0" applyNumberFormat="1" applyBorder="1"/>
    <xf numFmtId="0" fontId="0" fillId="0" borderId="0" xfId="0" applyBorder="1"/>
    <xf numFmtId="4" fontId="2" fillId="0" borderId="0" xfId="0" applyNumberFormat="1" applyFont="1" applyBorder="1"/>
    <xf numFmtId="164" fontId="2" fillId="0" borderId="0" xfId="0" applyNumberFormat="1" applyFont="1" applyBorder="1"/>
    <xf numFmtId="0" fontId="2" fillId="0" borderId="0" xfId="0" applyFont="1" applyBorder="1"/>
    <xf numFmtId="164" fontId="0" fillId="0" borderId="0" xfId="0" applyNumberFormat="1" applyBorder="1"/>
    <xf numFmtId="165" fontId="0" fillId="0" borderId="0" xfId="0" applyNumberFormat="1" applyBorder="1"/>
    <xf numFmtId="4" fontId="0" fillId="0" borderId="0" xfId="0" applyNumberFormat="1" applyBorder="1" applyAlignment="1">
      <alignment horizontal="right"/>
    </xf>
    <xf numFmtId="0" fontId="0" fillId="0" borderId="9" xfId="0" applyBorder="1" applyAlignment="1">
      <alignment vertical="center"/>
    </xf>
    <xf numFmtId="4" fontId="0" fillId="0" borderId="9" xfId="0" applyNumberForma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166" fontId="0" fillId="0" borderId="0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" xfId="0" builtinId="0"/>
    <cellStyle name="Normal 2 3" xfId="1" xr:uid="{372A12F1-C459-42A8-84CD-058B1AC817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F3BC-9169-4172-BC19-FB2B6CCE1DD3}">
  <sheetPr codeName="Sheet7"/>
  <dimension ref="A1:M19"/>
  <sheetViews>
    <sheetView tabSelected="1" zoomScale="85" zoomScaleNormal="85" workbookViewId="0">
      <selection activeCell="C20" sqref="C20"/>
    </sheetView>
  </sheetViews>
  <sheetFormatPr defaultRowHeight="15" x14ac:dyDescent="0.25"/>
  <cols>
    <col min="1" max="1" width="20.140625" customWidth="1"/>
    <col min="2" max="2" width="23.85546875" style="7" bestFit="1" customWidth="1"/>
    <col min="3" max="3" width="18.28515625" bestFit="1" customWidth="1"/>
    <col min="4" max="4" width="12" customWidth="1"/>
    <col min="5" max="5" width="13" customWidth="1"/>
    <col min="6" max="6" width="12.5703125" bestFit="1" customWidth="1"/>
    <col min="7" max="7" width="4" bestFit="1" customWidth="1"/>
    <col min="8" max="8" width="30.42578125" bestFit="1" customWidth="1"/>
    <col min="9" max="9" width="23.85546875" bestFit="1" customWidth="1"/>
    <col min="10" max="10" width="18.140625" bestFit="1" customWidth="1"/>
    <col min="11" max="11" width="13.140625" customWidth="1"/>
    <col min="12" max="12" width="11.42578125" customWidth="1"/>
    <col min="13" max="13" width="12.5703125" bestFit="1" customWidth="1"/>
  </cols>
  <sheetData>
    <row r="1" spans="1:13" ht="15.75" thickBot="1" x14ac:dyDescent="0.3">
      <c r="A1" s="23" t="s">
        <v>12</v>
      </c>
      <c r="B1" s="24"/>
      <c r="C1" s="24"/>
      <c r="D1" s="24"/>
      <c r="E1" s="24"/>
      <c r="F1" s="25"/>
      <c r="H1" s="23" t="s">
        <v>11</v>
      </c>
      <c r="I1" s="24"/>
      <c r="J1" s="24"/>
      <c r="K1" s="24"/>
      <c r="L1" s="24"/>
      <c r="M1" s="25"/>
    </row>
    <row r="2" spans="1:13" ht="58.15" customHeight="1" thickBot="1" x14ac:dyDescent="0.3">
      <c r="A2" s="19" t="s">
        <v>7</v>
      </c>
      <c r="B2" s="20" t="s">
        <v>6</v>
      </c>
      <c r="C2" s="21" t="s">
        <v>5</v>
      </c>
      <c r="D2" s="21" t="s">
        <v>8</v>
      </c>
      <c r="E2" s="21" t="s">
        <v>10</v>
      </c>
      <c r="F2" s="19" t="s">
        <v>9</v>
      </c>
      <c r="H2" s="19" t="s">
        <v>7</v>
      </c>
      <c r="I2" s="20" t="s">
        <v>6</v>
      </c>
      <c r="J2" s="21" t="s">
        <v>5</v>
      </c>
      <c r="K2" s="21" t="s">
        <v>8</v>
      </c>
      <c r="L2" s="21" t="s">
        <v>10</v>
      </c>
      <c r="M2" s="19" t="s">
        <v>9</v>
      </c>
    </row>
    <row r="3" spans="1:13" x14ac:dyDescent="0.25">
      <c r="A3" s="2"/>
      <c r="B3" s="11"/>
      <c r="C3" s="12"/>
      <c r="D3" s="22"/>
      <c r="E3" s="12"/>
      <c r="F3" s="9"/>
      <c r="H3" s="2"/>
      <c r="I3" s="11"/>
      <c r="J3" s="12"/>
      <c r="K3" s="22"/>
      <c r="L3" s="12"/>
      <c r="M3" s="9"/>
    </row>
    <row r="4" spans="1:13" x14ac:dyDescent="0.25">
      <c r="A4" s="2"/>
      <c r="B4" s="11"/>
      <c r="C4" s="12"/>
      <c r="D4" s="22"/>
      <c r="E4" s="12"/>
      <c r="F4" s="9"/>
      <c r="H4" s="2"/>
      <c r="I4" s="11"/>
      <c r="J4" s="12"/>
      <c r="K4" s="22"/>
      <c r="L4" s="12"/>
      <c r="M4" s="9"/>
    </row>
    <row r="5" spans="1:13" x14ac:dyDescent="0.25">
      <c r="A5" s="2"/>
      <c r="B5" s="11"/>
      <c r="C5" s="12"/>
      <c r="D5" s="22"/>
      <c r="E5" s="12"/>
      <c r="F5" s="9"/>
      <c r="H5" s="2"/>
      <c r="I5" s="11"/>
      <c r="J5" s="12"/>
      <c r="K5" s="22"/>
      <c r="L5" s="12"/>
      <c r="M5" s="9"/>
    </row>
    <row r="6" spans="1:13" x14ac:dyDescent="0.25">
      <c r="A6" s="2"/>
      <c r="B6" s="11"/>
      <c r="C6" s="12"/>
      <c r="D6" s="22"/>
      <c r="E6" s="12"/>
      <c r="F6" s="9"/>
      <c r="H6" s="2"/>
      <c r="I6" s="11"/>
      <c r="J6" s="12"/>
      <c r="K6" s="22"/>
      <c r="L6" s="12"/>
      <c r="M6" s="9"/>
    </row>
    <row r="7" spans="1:13" x14ac:dyDescent="0.25">
      <c r="A7" s="2"/>
      <c r="B7" s="11"/>
      <c r="C7" s="12"/>
      <c r="D7" s="22"/>
      <c r="E7" s="12"/>
      <c r="F7" s="9"/>
      <c r="H7" s="2"/>
      <c r="I7" s="11"/>
      <c r="J7" s="12"/>
      <c r="K7" s="22"/>
      <c r="L7" s="12"/>
      <c r="M7" s="9"/>
    </row>
    <row r="8" spans="1:13" x14ac:dyDescent="0.25">
      <c r="A8" s="1" t="s">
        <v>13</v>
      </c>
      <c r="B8" s="13" t="e">
        <f>AVERAGE(B3:B7)</f>
        <v>#DIV/0!</v>
      </c>
      <c r="C8" s="14" t="e">
        <f>AVERAGE(C3:C7)</f>
        <v>#DIV/0!</v>
      </c>
      <c r="D8" s="15" t="e">
        <f>AVERAGE(D3:D7)</f>
        <v>#DIV/0!</v>
      </c>
      <c r="E8" s="14" t="e">
        <f>AVERAGE(E3:E7)</f>
        <v>#DIV/0!</v>
      </c>
      <c r="F8" s="8" t="e">
        <f>AVERAGE(F3:F7)</f>
        <v>#DIV/0!</v>
      </c>
      <c r="H8" s="1" t="s">
        <v>13</v>
      </c>
      <c r="I8" s="13" t="e">
        <f>AVERAGE(I3:I7)</f>
        <v>#DIV/0!</v>
      </c>
      <c r="J8" s="14" t="e">
        <f>AVERAGE(J3:J7)</f>
        <v>#DIV/0!</v>
      </c>
      <c r="K8" s="15" t="e">
        <f>AVERAGE(K3:K7)</f>
        <v>#DIV/0!</v>
      </c>
      <c r="L8" s="14" t="e">
        <f>AVERAGE(L3:L7)</f>
        <v>#DIV/0!</v>
      </c>
      <c r="M8" s="8" t="e">
        <f>AVERAGE(M3:M7)</f>
        <v>#DIV/0!</v>
      </c>
    </row>
    <row r="9" spans="1:13" x14ac:dyDescent="0.25">
      <c r="A9" s="2" t="s">
        <v>14</v>
      </c>
      <c r="B9" s="11" t="e">
        <f>STDEV(B3:B7)</f>
        <v>#DIV/0!</v>
      </c>
      <c r="C9" s="16" t="e">
        <f>STDEV(C3:C7)</f>
        <v>#DIV/0!</v>
      </c>
      <c r="D9" s="17" t="e">
        <f>STDEV(D3:D7)</f>
        <v>#DIV/0!</v>
      </c>
      <c r="E9" s="17" t="e">
        <f>STDEV(E3:E7)</f>
        <v>#DIV/0!</v>
      </c>
      <c r="F9" s="9" t="e">
        <f>STDEV(F3:F7)</f>
        <v>#DIV/0!</v>
      </c>
      <c r="H9" s="2" t="s">
        <v>14</v>
      </c>
      <c r="I9" s="11" t="e">
        <f>STDEV(I3:I7)</f>
        <v>#DIV/0!</v>
      </c>
      <c r="J9" s="16" t="e">
        <f>STDEV(J3:J7)</f>
        <v>#DIV/0!</v>
      </c>
      <c r="K9" s="17" t="e">
        <f>STDEV(K3:K7)</f>
        <v>#DIV/0!</v>
      </c>
      <c r="L9" s="17" t="e">
        <f>STDEV(L3:L7)</f>
        <v>#DIV/0!</v>
      </c>
      <c r="M9" s="9" t="e">
        <f>STDEV(M3:M7)</f>
        <v>#DIV/0!</v>
      </c>
    </row>
    <row r="10" spans="1:13" x14ac:dyDescent="0.25">
      <c r="A10" s="2" t="s">
        <v>15</v>
      </c>
      <c r="B10" s="18" t="e">
        <f>(STDEV(B3:B7))/(SQRT(COUNT(B3:B7)))</f>
        <v>#DIV/0!</v>
      </c>
      <c r="C10" s="12"/>
      <c r="D10" s="12"/>
      <c r="E10" s="12"/>
      <c r="F10" s="3"/>
      <c r="H10" s="2" t="s">
        <v>15</v>
      </c>
      <c r="I10" s="18" t="e">
        <f>(STDEV(I3:I7))/(SQRT(COUNT(I3:I7)))</f>
        <v>#DIV/0!</v>
      </c>
      <c r="J10" s="12"/>
      <c r="K10" s="12"/>
      <c r="L10" s="12"/>
      <c r="M10" s="3"/>
    </row>
    <row r="11" spans="1:13" x14ac:dyDescent="0.25">
      <c r="A11" s="2" t="s">
        <v>0</v>
      </c>
      <c r="B11" s="11" t="e">
        <f>B9/B8</f>
        <v>#DIV/0!</v>
      </c>
      <c r="C11" s="17" t="e">
        <f>C9/C8</f>
        <v>#DIV/0!</v>
      </c>
      <c r="D11" s="12" t="e">
        <f>D9/D8</f>
        <v>#DIV/0!</v>
      </c>
      <c r="E11" s="17" t="e">
        <f>E9/E8</f>
        <v>#DIV/0!</v>
      </c>
      <c r="F11" s="3"/>
      <c r="H11" s="2" t="s">
        <v>0</v>
      </c>
      <c r="I11" s="11" t="e">
        <f>I9/I8</f>
        <v>#DIV/0!</v>
      </c>
      <c r="J11" s="17" t="e">
        <f>J9/J8</f>
        <v>#DIV/0!</v>
      </c>
      <c r="K11" s="12" t="e">
        <f>K9/K8</f>
        <v>#DIV/0!</v>
      </c>
      <c r="L11" s="17" t="e">
        <f>L9/L8</f>
        <v>#DIV/0!</v>
      </c>
      <c r="M11" s="3"/>
    </row>
    <row r="12" spans="1:13" x14ac:dyDescent="0.25">
      <c r="A12" s="2" t="s">
        <v>1</v>
      </c>
      <c r="B12" s="11" t="e">
        <f>(B9/B8)*(B9/B8)</f>
        <v>#DIV/0!</v>
      </c>
      <c r="C12" s="12"/>
      <c r="D12" s="12"/>
      <c r="E12" s="12"/>
      <c r="F12" s="3"/>
      <c r="H12" s="2" t="s">
        <v>1</v>
      </c>
      <c r="I12" s="11" t="e">
        <f>(I9/I8)*(I9/I8)</f>
        <v>#DIV/0!</v>
      </c>
      <c r="J12" s="12"/>
      <c r="K12" s="12"/>
      <c r="L12" s="12"/>
      <c r="M12" s="3"/>
    </row>
    <row r="13" spans="1:13" x14ac:dyDescent="0.25">
      <c r="A13" s="2" t="s">
        <v>2</v>
      </c>
      <c r="B13" s="11" t="e">
        <f>D8*D8</f>
        <v>#DIV/0!</v>
      </c>
      <c r="C13" s="12"/>
      <c r="D13" s="12"/>
      <c r="E13" s="12"/>
      <c r="F13" s="3"/>
      <c r="H13" s="2" t="s">
        <v>2</v>
      </c>
      <c r="I13" s="11" t="e">
        <f>K8*K8</f>
        <v>#DIV/0!</v>
      </c>
      <c r="J13" s="12"/>
      <c r="K13" s="12"/>
      <c r="L13" s="12"/>
      <c r="M13" s="3"/>
    </row>
    <row r="14" spans="1:13" x14ac:dyDescent="0.25">
      <c r="A14" s="2" t="s">
        <v>3</v>
      </c>
      <c r="B14" s="11" t="e">
        <f>B13/B12</f>
        <v>#DIV/0!</v>
      </c>
      <c r="C14" s="12"/>
      <c r="D14" s="12"/>
      <c r="E14" s="12"/>
      <c r="F14" s="3"/>
      <c r="H14" s="2" t="s">
        <v>3</v>
      </c>
      <c r="I14" s="11" t="e">
        <f>I13/I12</f>
        <v>#DIV/0!</v>
      </c>
      <c r="J14" s="12"/>
      <c r="K14" s="12"/>
      <c r="L14" s="12"/>
      <c r="M14" s="3"/>
    </row>
    <row r="15" spans="1:13" x14ac:dyDescent="0.25">
      <c r="A15" s="2" t="s">
        <v>4</v>
      </c>
      <c r="B15" s="11" t="e">
        <f>B12-B13</f>
        <v>#DIV/0!</v>
      </c>
      <c r="C15" s="12"/>
      <c r="D15" s="12"/>
      <c r="E15" s="12"/>
      <c r="F15" s="3"/>
      <c r="H15" s="2" t="s">
        <v>4</v>
      </c>
      <c r="I15" s="11" t="e">
        <f>I12-I13</f>
        <v>#DIV/0!</v>
      </c>
      <c r="J15" s="12"/>
      <c r="K15" s="12"/>
      <c r="L15" s="12"/>
      <c r="M15" s="3"/>
    </row>
    <row r="16" spans="1:13" ht="15.75" thickBot="1" x14ac:dyDescent="0.3">
      <c r="A16" s="4" t="s">
        <v>16</v>
      </c>
      <c r="B16" s="10" t="e">
        <f>(B15*100)/B12</f>
        <v>#DIV/0!</v>
      </c>
      <c r="C16" s="5"/>
      <c r="D16" s="5"/>
      <c r="E16" s="5"/>
      <c r="F16" s="6"/>
      <c r="H16" s="4" t="s">
        <v>16</v>
      </c>
      <c r="I16" s="10" t="e">
        <f>(I15*100)/I12</f>
        <v>#DIV/0!</v>
      </c>
      <c r="J16" s="5"/>
      <c r="K16" s="5"/>
      <c r="L16" s="5"/>
      <c r="M16" s="6"/>
    </row>
    <row r="19" spans="1:1" x14ac:dyDescent="0.25">
      <c r="A19" t="s">
        <v>17</v>
      </c>
    </row>
  </sheetData>
  <mergeCells count="2">
    <mergeCell ref="A1:F1"/>
    <mergeCell ref="H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2019-04-27T21:44:19Z</dcterms:modified>
</cp:coreProperties>
</file>