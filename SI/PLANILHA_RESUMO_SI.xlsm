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SIandNL_Macros\SI\"/>
    </mc:Choice>
  </mc:AlternateContent>
  <xr:revisionPtr revIDLastSave="0" documentId="13_ncr:1_{75028C8B-5E7E-4AEA-BAFB-D26E378D3CA5}" xr6:coauthVersionLast="43" xr6:coauthVersionMax="43" xr10:uidLastSave="{00000000-0000-0000-0000-000000000000}"/>
  <bookViews>
    <workbookView xWindow="-120" yWindow="-120" windowWidth="29040" windowHeight="15840" xr2:uid="{608D28C8-7781-40EA-B977-9AB600463373}"/>
  </bookViews>
  <sheets>
    <sheet name="Grupo1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1" i="7" l="1"/>
  <c r="G11" i="7"/>
  <c r="O9" i="7"/>
  <c r="O10" i="7"/>
  <c r="G9" i="7"/>
  <c r="G10" i="7"/>
  <c r="C13" i="7" l="1"/>
  <c r="K13" i="7"/>
  <c r="G3" i="7" l="1"/>
  <c r="G4" i="7"/>
  <c r="G5" i="7"/>
  <c r="G6" i="7"/>
  <c r="G7" i="7"/>
  <c r="G8" i="7"/>
  <c r="G12" i="7"/>
  <c r="O3" i="7"/>
  <c r="O4" i="7"/>
  <c r="O5" i="7"/>
  <c r="O6" i="7"/>
  <c r="O7" i="7"/>
  <c r="O8" i="7"/>
  <c r="O12" i="7"/>
  <c r="N13" i="7" l="1"/>
  <c r="M13" i="7"/>
  <c r="J18" i="7" s="1"/>
  <c r="L13" i="7"/>
  <c r="J13" i="7"/>
  <c r="J15" i="7"/>
  <c r="N14" i="7"/>
  <c r="M14" i="7"/>
  <c r="M16" i="7" s="1"/>
  <c r="L14" i="7"/>
  <c r="J14" i="7"/>
  <c r="O14" i="7" l="1"/>
  <c r="O13" i="7"/>
  <c r="L16" i="7"/>
  <c r="N16" i="7"/>
  <c r="J16" i="7"/>
  <c r="J17" i="7"/>
  <c r="J20" i="7" s="1"/>
  <c r="J21" i="7" s="1"/>
  <c r="J19" i="7" l="1"/>
  <c r="B15" i="7"/>
  <c r="F14" i="7"/>
  <c r="E14" i="7"/>
  <c r="D14" i="7"/>
  <c r="B14" i="7"/>
  <c r="F13" i="7"/>
  <c r="E13" i="7"/>
  <c r="B18" i="7" s="1"/>
  <c r="D13" i="7"/>
  <c r="B13" i="7"/>
  <c r="G13" i="7" l="1"/>
  <c r="G14" i="7"/>
  <c r="F16" i="7"/>
  <c r="E16" i="7"/>
  <c r="D16" i="7"/>
  <c r="B16" i="7"/>
  <c r="B17" i="7"/>
  <c r="B20" i="7" s="1"/>
  <c r="B21" i="7" s="1"/>
  <c r="B19" i="7" l="1"/>
</calcChain>
</file>

<file path=xl/sharedStrings.xml><?xml version="1.0" encoding="utf-8"?>
<sst xmlns="http://schemas.openxmlformats.org/spreadsheetml/2006/main" count="32" uniqueCount="16">
  <si>
    <t>CV</t>
  </si>
  <si>
    <t>CV²</t>
  </si>
  <si>
    <t>CE²</t>
  </si>
  <si>
    <t>CE²/CV²</t>
  </si>
  <si>
    <t>CV²-CE²</t>
  </si>
  <si>
    <t>Number Weighted Mean Section Thickness (µm)</t>
  </si>
  <si>
    <t>Estimated Population using Number Weighted Section Thickness</t>
  </si>
  <si>
    <t>Data File</t>
  </si>
  <si>
    <t>Estimated CE (Scheaffer)</t>
  </si>
  <si>
    <t>Cell/Volume</t>
  </si>
  <si>
    <t xml:space="preserve">Measured Volume (mm³) </t>
  </si>
  <si>
    <t>Average</t>
  </si>
  <si>
    <t>Standard Deviation</t>
  </si>
  <si>
    <t>Standard Error</t>
  </si>
  <si>
    <t>CBV²(%)</t>
  </si>
  <si>
    <t>Number of Sections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</si>
</sst>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2" fillId="0" borderId="4" xfId="0" applyFont="1" applyBorder="1"/>
    <xf numFmtId="0" fontId="0" fillId="0" borderId="4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4" fontId="0" fillId="0" borderId="0" xfId="0" applyNumberFormat="1"/>
    <xf numFmtId="4" fontId="2" fillId="0" borderId="8" xfId="0" applyNumberFormat="1" applyFont="1" applyBorder="1"/>
    <xf numFmtId="4" fontId="0" fillId="0" borderId="8" xfId="0" applyNumberFormat="1" applyBorder="1"/>
    <xf numFmtId="4" fontId="0" fillId="0" borderId="6" xfId="0" applyNumberFormat="1" applyBorder="1"/>
    <xf numFmtId="4" fontId="0" fillId="0" borderId="0" xfId="0" applyNumberFormat="1" applyBorder="1"/>
    <xf numFmtId="0" fontId="0" fillId="0" borderId="0" xfId="0" applyBorder="1"/>
    <xf numFmtId="4" fontId="2" fillId="0" borderId="0" xfId="0" applyNumberFormat="1" applyFont="1" applyBorder="1"/>
    <xf numFmtId="164" fontId="2" fillId="0" borderId="0" xfId="0" applyNumberFormat="1" applyFont="1" applyBorder="1"/>
    <xf numFmtId="0" fontId="2" fillId="0" borderId="0" xfId="0" applyFont="1" applyBorder="1"/>
    <xf numFmtId="164" fontId="0" fillId="0" borderId="0" xfId="0" applyNumberFormat="1" applyBorder="1"/>
    <xf numFmtId="165" fontId="0" fillId="0" borderId="0" xfId="0" applyNumberFormat="1" applyBorder="1"/>
    <xf numFmtId="4" fontId="0" fillId="0" borderId="0" xfId="0" applyNumberFormat="1" applyBorder="1" applyAlignment="1">
      <alignment horizontal="right"/>
    </xf>
    <xf numFmtId="0" fontId="0" fillId="0" borderId="9" xfId="0" applyBorder="1" applyAlignment="1">
      <alignment vertical="center"/>
    </xf>
    <xf numFmtId="4" fontId="0" fillId="0" borderId="9" xfId="0" applyNumberFormat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166" fontId="0" fillId="0" borderId="0" xfId="0" applyNumberFormat="1" applyBorder="1"/>
    <xf numFmtId="3" fontId="0" fillId="0" borderId="9" xfId="0" applyNumberFormat="1" applyBorder="1" applyAlignment="1">
      <alignment vertical="center" wrapText="1"/>
    </xf>
    <xf numFmtId="3" fontId="0" fillId="0" borderId="0" xfId="0" applyNumberFormat="1" applyBorder="1"/>
    <xf numFmtId="3" fontId="2" fillId="0" borderId="0" xfId="0" applyNumberFormat="1" applyFont="1" applyBorder="1"/>
    <xf numFmtId="3" fontId="0" fillId="0" borderId="0" xfId="0" applyNumberFormat="1" applyBorder="1" applyAlignment="1">
      <alignment horizontal="right"/>
    </xf>
    <xf numFmtId="3" fontId="0" fillId="0" borderId="6" xfId="0" applyNumberFormat="1" applyBorder="1"/>
    <xf numFmtId="3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Normal" xfId="0" builtinId="0"/>
    <cellStyle name="Normal 2 3" xfId="1" xr:uid="{372A12F1-C459-42A8-84CD-058B1AC8174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F3BC-9169-4172-BC19-FB2B6CCE1DD3}">
  <sheetPr codeName="Sheet7"/>
  <dimension ref="A1:O21"/>
  <sheetViews>
    <sheetView tabSelected="1" zoomScale="115" zoomScaleNormal="115" workbookViewId="0">
      <selection activeCell="I1" sqref="I1:O1"/>
    </sheetView>
  </sheetViews>
  <sheetFormatPr defaultRowHeight="15" x14ac:dyDescent="0.25"/>
  <cols>
    <col min="1" max="1" width="16.7109375" bestFit="1" customWidth="1"/>
    <col min="2" max="2" width="16.42578125" style="7" customWidth="1"/>
    <col min="3" max="3" width="9.7109375" style="28" bestFit="1" customWidth="1"/>
    <col min="4" max="4" width="18.28515625" bestFit="1" customWidth="1"/>
    <col min="5" max="5" width="12" customWidth="1"/>
    <col min="6" max="6" width="14.28515625" bestFit="1" customWidth="1"/>
    <col min="7" max="7" width="11.28515625" bestFit="1" customWidth="1"/>
    <col min="8" max="8" width="4" bestFit="1" customWidth="1"/>
    <col min="9" max="9" width="16.7109375" bestFit="1" customWidth="1"/>
    <col min="10" max="10" width="17.42578125" customWidth="1"/>
    <col min="11" max="11" width="9.7109375" style="28" bestFit="1" customWidth="1"/>
    <col min="12" max="12" width="14.7109375" customWidth="1"/>
    <col min="13" max="13" width="13.140625" customWidth="1"/>
    <col min="14" max="14" width="15.140625" bestFit="1" customWidth="1"/>
    <col min="15" max="15" width="11.28515625" bestFit="1" customWidth="1"/>
  </cols>
  <sheetData>
    <row r="1" spans="1:15" ht="15.75" thickBot="1" x14ac:dyDescent="0.3">
      <c r="A1" s="29"/>
      <c r="B1" s="30"/>
      <c r="C1" s="30"/>
      <c r="D1" s="30"/>
      <c r="E1" s="30"/>
      <c r="F1" s="30"/>
      <c r="G1" s="31"/>
      <c r="I1" s="29"/>
      <c r="J1" s="30"/>
      <c r="K1" s="30"/>
      <c r="L1" s="30"/>
      <c r="M1" s="30"/>
      <c r="N1" s="30"/>
      <c r="O1" s="31"/>
    </row>
    <row r="2" spans="1:15" ht="58.15" customHeight="1" thickBot="1" x14ac:dyDescent="0.3">
      <c r="A2" s="19" t="s">
        <v>7</v>
      </c>
      <c r="B2" s="20" t="s">
        <v>6</v>
      </c>
      <c r="C2" s="23" t="s">
        <v>15</v>
      </c>
      <c r="D2" s="21" t="s">
        <v>5</v>
      </c>
      <c r="E2" s="21" t="s">
        <v>8</v>
      </c>
      <c r="F2" s="21" t="s">
        <v>10</v>
      </c>
      <c r="G2" s="19" t="s">
        <v>9</v>
      </c>
      <c r="I2" s="19" t="s">
        <v>7</v>
      </c>
      <c r="J2" s="20" t="s">
        <v>6</v>
      </c>
      <c r="K2" s="23" t="s">
        <v>15</v>
      </c>
      <c r="L2" s="21" t="s">
        <v>5</v>
      </c>
      <c r="M2" s="21" t="s">
        <v>8</v>
      </c>
      <c r="N2" s="21" t="s">
        <v>10</v>
      </c>
      <c r="O2" s="19" t="s">
        <v>9</v>
      </c>
    </row>
    <row r="3" spans="1:15" x14ac:dyDescent="0.25">
      <c r="A3" s="2"/>
      <c r="B3" s="11"/>
      <c r="C3" s="24"/>
      <c r="D3" s="12"/>
      <c r="E3" s="22"/>
      <c r="F3" s="12"/>
      <c r="G3" s="9" t="e">
        <f t="shared" ref="G3:G12" si="0">B3/F3</f>
        <v>#DIV/0!</v>
      </c>
      <c r="I3" s="2"/>
      <c r="J3" s="11"/>
      <c r="K3" s="24"/>
      <c r="L3" s="12"/>
      <c r="M3" s="22"/>
      <c r="N3" s="12"/>
      <c r="O3" s="9" t="e">
        <f t="shared" ref="O3:O12" si="1">J3/N3</f>
        <v>#DIV/0!</v>
      </c>
    </row>
    <row r="4" spans="1:15" x14ac:dyDescent="0.25">
      <c r="A4" s="2"/>
      <c r="B4" s="11"/>
      <c r="C4" s="24"/>
      <c r="D4" s="12"/>
      <c r="E4" s="22"/>
      <c r="F4" s="12"/>
      <c r="G4" s="9" t="e">
        <f t="shared" si="0"/>
        <v>#DIV/0!</v>
      </c>
      <c r="I4" s="2"/>
      <c r="J4" s="11"/>
      <c r="K4" s="24"/>
      <c r="L4" s="12"/>
      <c r="M4" s="22"/>
      <c r="N4" s="12"/>
      <c r="O4" s="9" t="e">
        <f t="shared" si="1"/>
        <v>#DIV/0!</v>
      </c>
    </row>
    <row r="5" spans="1:15" x14ac:dyDescent="0.25">
      <c r="A5" s="2"/>
      <c r="B5" s="11"/>
      <c r="C5" s="24"/>
      <c r="D5" s="12"/>
      <c r="E5" s="22"/>
      <c r="F5" s="12"/>
      <c r="G5" s="9" t="e">
        <f t="shared" si="0"/>
        <v>#DIV/0!</v>
      </c>
      <c r="I5" s="2"/>
      <c r="J5" s="11"/>
      <c r="K5" s="24"/>
      <c r="L5" s="12"/>
      <c r="M5" s="22"/>
      <c r="N5" s="12"/>
      <c r="O5" s="9" t="e">
        <f t="shared" si="1"/>
        <v>#DIV/0!</v>
      </c>
    </row>
    <row r="6" spans="1:15" x14ac:dyDescent="0.25">
      <c r="A6" s="2"/>
      <c r="B6" s="11"/>
      <c r="C6" s="24"/>
      <c r="D6" s="12"/>
      <c r="E6" s="22"/>
      <c r="F6" s="12"/>
      <c r="G6" s="9" t="e">
        <f t="shared" si="0"/>
        <v>#DIV/0!</v>
      </c>
      <c r="I6" s="2"/>
      <c r="J6" s="11"/>
      <c r="K6" s="24"/>
      <c r="L6" s="12"/>
      <c r="M6" s="22"/>
      <c r="N6" s="12"/>
      <c r="O6" s="9" t="e">
        <f t="shared" si="1"/>
        <v>#DIV/0!</v>
      </c>
    </row>
    <row r="7" spans="1:15" x14ac:dyDescent="0.25">
      <c r="A7" s="2"/>
      <c r="B7" s="11"/>
      <c r="C7" s="24"/>
      <c r="D7" s="12"/>
      <c r="E7" s="22"/>
      <c r="F7" s="12"/>
      <c r="G7" s="9" t="e">
        <f t="shared" si="0"/>
        <v>#DIV/0!</v>
      </c>
      <c r="I7" s="2"/>
      <c r="J7" s="11"/>
      <c r="K7" s="24"/>
      <c r="L7" s="12"/>
      <c r="M7" s="22"/>
      <c r="N7" s="12"/>
      <c r="O7" s="9" t="e">
        <f t="shared" si="1"/>
        <v>#DIV/0!</v>
      </c>
    </row>
    <row r="8" spans="1:15" x14ac:dyDescent="0.25">
      <c r="A8" s="2"/>
      <c r="B8" s="11"/>
      <c r="C8" s="24"/>
      <c r="D8" s="12"/>
      <c r="E8" s="22"/>
      <c r="F8" s="12"/>
      <c r="G8" s="9" t="e">
        <f t="shared" si="0"/>
        <v>#DIV/0!</v>
      </c>
      <c r="I8" s="2"/>
      <c r="J8" s="11"/>
      <c r="K8" s="24"/>
      <c r="L8" s="12"/>
      <c r="M8" s="22"/>
      <c r="N8" s="12"/>
      <c r="O8" s="9" t="e">
        <f t="shared" si="1"/>
        <v>#DIV/0!</v>
      </c>
    </row>
    <row r="9" spans="1:15" x14ac:dyDescent="0.25">
      <c r="A9" s="2"/>
      <c r="B9" s="11"/>
      <c r="C9" s="24"/>
      <c r="D9" s="12"/>
      <c r="E9" s="22"/>
      <c r="F9" s="12"/>
      <c r="G9" s="9" t="e">
        <f t="shared" si="0"/>
        <v>#DIV/0!</v>
      </c>
      <c r="I9" s="2"/>
      <c r="J9" s="11"/>
      <c r="K9" s="24"/>
      <c r="L9" s="12"/>
      <c r="M9" s="22"/>
      <c r="N9" s="12"/>
      <c r="O9" s="9" t="e">
        <f t="shared" si="1"/>
        <v>#DIV/0!</v>
      </c>
    </row>
    <row r="10" spans="1:15" x14ac:dyDescent="0.25">
      <c r="A10" s="2"/>
      <c r="B10" s="11"/>
      <c r="C10" s="24"/>
      <c r="D10" s="12"/>
      <c r="E10" s="22"/>
      <c r="F10" s="12"/>
      <c r="G10" s="9" t="e">
        <f t="shared" si="0"/>
        <v>#DIV/0!</v>
      </c>
      <c r="I10" s="2"/>
      <c r="J10" s="11"/>
      <c r="K10" s="24"/>
      <c r="L10" s="12"/>
      <c r="M10" s="22"/>
      <c r="N10" s="12"/>
      <c r="O10" s="9" t="e">
        <f t="shared" si="1"/>
        <v>#DIV/0!</v>
      </c>
    </row>
    <row r="11" spans="1:15" x14ac:dyDescent="0.25">
      <c r="A11" s="2"/>
      <c r="B11" s="11"/>
      <c r="C11" s="24"/>
      <c r="D11" s="12"/>
      <c r="E11" s="22"/>
      <c r="F11" s="12"/>
      <c r="G11" s="9" t="e">
        <f t="shared" si="0"/>
        <v>#DIV/0!</v>
      </c>
      <c r="I11" s="2"/>
      <c r="J11" s="11"/>
      <c r="K11" s="24"/>
      <c r="L11" s="12"/>
      <c r="M11" s="22"/>
      <c r="N11" s="12"/>
      <c r="O11" s="9" t="e">
        <f t="shared" si="1"/>
        <v>#DIV/0!</v>
      </c>
    </row>
    <row r="12" spans="1:15" x14ac:dyDescent="0.25">
      <c r="A12" s="2"/>
      <c r="B12" s="11"/>
      <c r="C12" s="24"/>
      <c r="D12" s="12"/>
      <c r="E12" s="22"/>
      <c r="F12" s="12"/>
      <c r="G12" s="9" t="e">
        <f t="shared" si="0"/>
        <v>#DIV/0!</v>
      </c>
      <c r="I12" s="2"/>
      <c r="J12" s="11"/>
      <c r="K12" s="24"/>
      <c r="L12" s="12"/>
      <c r="M12" s="22"/>
      <c r="N12" s="12"/>
      <c r="O12" s="9" t="e">
        <f t="shared" si="1"/>
        <v>#DIV/0!</v>
      </c>
    </row>
    <row r="13" spans="1:15" x14ac:dyDescent="0.25">
      <c r="A13" s="1" t="s">
        <v>11</v>
      </c>
      <c r="B13" s="13" t="e">
        <f t="shared" ref="B13:G13" si="2">AVERAGE(B3:B12)</f>
        <v>#DIV/0!</v>
      </c>
      <c r="C13" s="25" t="e">
        <f t="shared" si="2"/>
        <v>#DIV/0!</v>
      </c>
      <c r="D13" s="14" t="e">
        <f t="shared" si="2"/>
        <v>#DIV/0!</v>
      </c>
      <c r="E13" s="15" t="e">
        <f t="shared" si="2"/>
        <v>#DIV/0!</v>
      </c>
      <c r="F13" s="14" t="e">
        <f t="shared" si="2"/>
        <v>#DIV/0!</v>
      </c>
      <c r="G13" s="8" t="e">
        <f t="shared" si="2"/>
        <v>#DIV/0!</v>
      </c>
      <c r="I13" s="1" t="s">
        <v>11</v>
      </c>
      <c r="J13" s="13" t="e">
        <f t="shared" ref="J13:O13" si="3">AVERAGE(J3:J12)</f>
        <v>#DIV/0!</v>
      </c>
      <c r="K13" s="25" t="e">
        <f t="shared" si="3"/>
        <v>#DIV/0!</v>
      </c>
      <c r="L13" s="14" t="e">
        <f t="shared" si="3"/>
        <v>#DIV/0!</v>
      </c>
      <c r="M13" s="15" t="e">
        <f t="shared" si="3"/>
        <v>#DIV/0!</v>
      </c>
      <c r="N13" s="14" t="e">
        <f t="shared" si="3"/>
        <v>#DIV/0!</v>
      </c>
      <c r="O13" s="8" t="e">
        <f t="shared" si="3"/>
        <v>#DIV/0!</v>
      </c>
    </row>
    <row r="14" spans="1:15" x14ac:dyDescent="0.25">
      <c r="A14" s="2" t="s">
        <v>12</v>
      </c>
      <c r="B14" s="11" t="e">
        <f>STDEV(B3:B12)</f>
        <v>#DIV/0!</v>
      </c>
      <c r="C14" s="24"/>
      <c r="D14" s="16" t="e">
        <f>STDEV(D3:D12)</f>
        <v>#DIV/0!</v>
      </c>
      <c r="E14" s="17" t="e">
        <f>STDEV(E3:E12)</f>
        <v>#DIV/0!</v>
      </c>
      <c r="F14" s="17" t="e">
        <f>STDEV(F3:F12)</f>
        <v>#DIV/0!</v>
      </c>
      <c r="G14" s="9" t="e">
        <f>STDEV(G3:G12)</f>
        <v>#DIV/0!</v>
      </c>
      <c r="I14" s="2" t="s">
        <v>12</v>
      </c>
      <c r="J14" s="11" t="e">
        <f>STDEV(J3:J12)</f>
        <v>#DIV/0!</v>
      </c>
      <c r="K14" s="24"/>
      <c r="L14" s="16" t="e">
        <f>STDEV(L3:L12)</f>
        <v>#DIV/0!</v>
      </c>
      <c r="M14" s="17" t="e">
        <f>STDEV(M3:M12)</f>
        <v>#DIV/0!</v>
      </c>
      <c r="N14" s="17" t="e">
        <f>STDEV(N3:N12)</f>
        <v>#DIV/0!</v>
      </c>
      <c r="O14" s="9" t="e">
        <f>STDEV(O3:O12)</f>
        <v>#DIV/0!</v>
      </c>
    </row>
    <row r="15" spans="1:15" x14ac:dyDescent="0.25">
      <c r="A15" s="2" t="s">
        <v>13</v>
      </c>
      <c r="B15" s="18" t="e">
        <f>(STDEV(B3:B12))/(SQRT(COUNT(B3:B12)))</f>
        <v>#DIV/0!</v>
      </c>
      <c r="C15" s="26"/>
      <c r="D15" s="12"/>
      <c r="E15" s="12"/>
      <c r="F15" s="12"/>
      <c r="G15" s="3"/>
      <c r="I15" s="2" t="s">
        <v>13</v>
      </c>
      <c r="J15" s="18" t="e">
        <f>(STDEV(J3:J12))/(SQRT(COUNT(J3:J12)))</f>
        <v>#DIV/0!</v>
      </c>
      <c r="K15" s="26"/>
      <c r="L15" s="12"/>
      <c r="M15" s="12"/>
      <c r="N15" s="12"/>
      <c r="O15" s="3"/>
    </row>
    <row r="16" spans="1:15" x14ac:dyDescent="0.25">
      <c r="A16" s="2" t="s">
        <v>0</v>
      </c>
      <c r="B16" s="11" t="e">
        <f>B14/B13</f>
        <v>#DIV/0!</v>
      </c>
      <c r="C16" s="24"/>
      <c r="D16" s="17" t="e">
        <f>D14/D13</f>
        <v>#DIV/0!</v>
      </c>
      <c r="E16" s="12" t="e">
        <f>E14/E13</f>
        <v>#DIV/0!</v>
      </c>
      <c r="F16" s="17" t="e">
        <f>F14/F13</f>
        <v>#DIV/0!</v>
      </c>
      <c r="G16" s="3"/>
      <c r="I16" s="2" t="s">
        <v>0</v>
      </c>
      <c r="J16" s="11" t="e">
        <f>J14/J13</f>
        <v>#DIV/0!</v>
      </c>
      <c r="K16" s="24"/>
      <c r="L16" s="17" t="e">
        <f>L14/L13</f>
        <v>#DIV/0!</v>
      </c>
      <c r="M16" s="12" t="e">
        <f>M14/M13</f>
        <v>#DIV/0!</v>
      </c>
      <c r="N16" s="17" t="e">
        <f>N14/N13</f>
        <v>#DIV/0!</v>
      </c>
      <c r="O16" s="3"/>
    </row>
    <row r="17" spans="1:15" x14ac:dyDescent="0.25">
      <c r="A17" s="2" t="s">
        <v>1</v>
      </c>
      <c r="B17" s="11" t="e">
        <f>(B14/B13)*(B14/B13)</f>
        <v>#DIV/0!</v>
      </c>
      <c r="C17" s="24"/>
      <c r="D17" s="12"/>
      <c r="E17" s="12"/>
      <c r="F17" s="12"/>
      <c r="G17" s="3"/>
      <c r="I17" s="2" t="s">
        <v>1</v>
      </c>
      <c r="J17" s="11" t="e">
        <f>(J14/J13)*(J14/J13)</f>
        <v>#DIV/0!</v>
      </c>
      <c r="K17" s="24"/>
      <c r="L17" s="12"/>
      <c r="M17" s="12"/>
      <c r="N17" s="12"/>
      <c r="O17" s="3"/>
    </row>
    <row r="18" spans="1:15" x14ac:dyDescent="0.25">
      <c r="A18" s="2" t="s">
        <v>2</v>
      </c>
      <c r="B18" s="11" t="e">
        <f>E13*E13</f>
        <v>#DIV/0!</v>
      </c>
      <c r="C18" s="24"/>
      <c r="D18" s="12"/>
      <c r="E18" s="12"/>
      <c r="F18" s="12"/>
      <c r="G18" s="3"/>
      <c r="I18" s="2" t="s">
        <v>2</v>
      </c>
      <c r="J18" s="11" t="e">
        <f>M13*M13</f>
        <v>#DIV/0!</v>
      </c>
      <c r="K18" s="24"/>
      <c r="L18" s="12"/>
      <c r="M18" s="12"/>
      <c r="N18" s="12"/>
      <c r="O18" s="3"/>
    </row>
    <row r="19" spans="1:15" x14ac:dyDescent="0.25">
      <c r="A19" s="2" t="s">
        <v>3</v>
      </c>
      <c r="B19" s="11" t="e">
        <f>B18/B17</f>
        <v>#DIV/0!</v>
      </c>
      <c r="C19" s="24"/>
      <c r="D19" s="12"/>
      <c r="E19" s="12"/>
      <c r="F19" s="12"/>
      <c r="G19" s="3"/>
      <c r="I19" s="2" t="s">
        <v>3</v>
      </c>
      <c r="J19" s="11" t="e">
        <f>J18/J17</f>
        <v>#DIV/0!</v>
      </c>
      <c r="K19" s="24"/>
      <c r="L19" s="12"/>
      <c r="M19" s="12"/>
      <c r="N19" s="12"/>
      <c r="O19" s="3"/>
    </row>
    <row r="20" spans="1:15" x14ac:dyDescent="0.25">
      <c r="A20" s="2" t="s">
        <v>4</v>
      </c>
      <c r="B20" s="11" t="e">
        <f>B17-B18</f>
        <v>#DIV/0!</v>
      </c>
      <c r="C20" s="24"/>
      <c r="D20" s="12"/>
      <c r="E20" s="12"/>
      <c r="F20" s="12"/>
      <c r="G20" s="3"/>
      <c r="I20" s="2" t="s">
        <v>4</v>
      </c>
      <c r="J20" s="11" t="e">
        <f>J17-J18</f>
        <v>#DIV/0!</v>
      </c>
      <c r="K20" s="24"/>
      <c r="L20" s="12"/>
      <c r="M20" s="12"/>
      <c r="N20" s="12"/>
      <c r="O20" s="3"/>
    </row>
    <row r="21" spans="1:15" ht="15.75" thickBot="1" x14ac:dyDescent="0.3">
      <c r="A21" s="4" t="s">
        <v>14</v>
      </c>
      <c r="B21" s="10" t="e">
        <f>(B20*100)/B17</f>
        <v>#DIV/0!</v>
      </c>
      <c r="C21" s="27"/>
      <c r="D21" s="5"/>
      <c r="E21" s="5"/>
      <c r="F21" s="5"/>
      <c r="G21" s="6"/>
      <c r="I21" s="4" t="s">
        <v>14</v>
      </c>
      <c r="J21" s="10" t="e">
        <f>(J20*100)/J17</f>
        <v>#DIV/0!</v>
      </c>
      <c r="K21" s="27"/>
      <c r="L21" s="5"/>
      <c r="M21" s="5"/>
      <c r="N21" s="5"/>
      <c r="O21" s="6"/>
    </row>
  </sheetData>
  <mergeCells count="2">
    <mergeCell ref="A1:G1"/>
    <mergeCell ref="I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Grupo1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2019-05-08T16:29:45Z</dcterms:modified>
</cp:coreProperties>
</file>