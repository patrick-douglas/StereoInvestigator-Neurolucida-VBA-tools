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ck\Dropbox\"/>
    </mc:Choice>
  </mc:AlternateContent>
  <xr:revisionPtr revIDLastSave="0" documentId="13_ncr:1_{FB2D5253-3E01-4856-943D-87FC6B55BED7}" xr6:coauthVersionLast="47" xr6:coauthVersionMax="47" xr10:uidLastSave="{00000000-0000-0000-0000-000000000000}"/>
  <bookViews>
    <workbookView xWindow="-120" yWindow="-120" windowWidth="29040" windowHeight="15720" activeTab="3" xr2:uid="{B988E605-6562-498F-AD17-64E1E56880C5}"/>
  </bookViews>
  <sheets>
    <sheet name="Parameters-OpticalFractionator" sheetId="1" r:id="rId1"/>
    <sheet name="DataSummary-OpticalFractionator" sheetId="2" r:id="rId2"/>
    <sheet name="DataSummary-CavalieriEstimator" sheetId="13" r:id="rId3"/>
    <sheet name="DataSummary-CavalieriParameters" sheetId="15" r:id="rId4"/>
  </sheets>
  <definedNames>
    <definedName name="_xleta.AVERAGE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15" l="1"/>
  <c r="P3" i="15"/>
  <c r="P2" i="15"/>
</calcChain>
</file>

<file path=xl/sharedStrings.xml><?xml version="1.0" encoding="utf-8"?>
<sst xmlns="http://schemas.openxmlformats.org/spreadsheetml/2006/main" count="56" uniqueCount="50">
  <si>
    <t>ASF</t>
  </si>
  <si>
    <t>SSF</t>
  </si>
  <si>
    <t>TSF</t>
  </si>
  <si>
    <t>ΣQ‐</t>
  </si>
  <si>
    <t>Sample</t>
  </si>
  <si>
    <t>Estimated Population using Number Weighted Section Thickness</t>
  </si>
  <si>
    <t>Estimated CE (Scheaffer)</t>
  </si>
  <si>
    <t>Measured Defined Mounted Thickness</t>
  </si>
  <si>
    <t>Estimated Volume (mm³)</t>
  </si>
  <si>
    <t>Coefficient of Error (Gundersen), m=1</t>
  </si>
  <si>
    <t>Data File</t>
  </si>
  <si>
    <t>Estimate adjusted by Missing Section Fraction</t>
  </si>
  <si>
    <t>Region</t>
  </si>
  <si>
    <t>Marker</t>
  </si>
  <si>
    <t>Number of Missing Sections</t>
  </si>
  <si>
    <t>Sampling Grid
(X) (µm)</t>
  </si>
  <si>
    <t>Sampling Grid
(Y) (µm)</t>
  </si>
  <si>
    <t xml:space="preserve">Section Evaluation
Interval </t>
  </si>
  <si>
    <t>Number of
Sampling Sites</t>
  </si>
  <si>
    <t>Number of
Sections</t>
  </si>
  <si>
    <t>Counting Frame
Width (X) (µm)</t>
  </si>
  <si>
    <t>Counting Frame
Height (Y) (µm)</t>
  </si>
  <si>
    <t>Number of
Missing Sections</t>
  </si>
  <si>
    <t>Number of objects</t>
  </si>
  <si>
    <t>Number of objects
(Account for missing sections)</t>
  </si>
  <si>
    <t>Number of Missing Section</t>
  </si>
  <si>
    <t>Estimated Volume (mm³) adjusted with missing section counts</t>
  </si>
  <si>
    <t>Coefficient of Error (Gundersen), m=0</t>
  </si>
  <si>
    <t>Structure</t>
  </si>
  <si>
    <t>Section cut thickness (µm)</t>
  </si>
  <si>
    <t>Section evaluation interval</t>
  </si>
  <si>
    <t>Grid size (µm)</t>
  </si>
  <si>
    <t>Area per point (µm²)</t>
  </si>
  <si>
    <t>Associated volume (mm³)</t>
  </si>
  <si>
    <t>No. sections analyzed</t>
  </si>
  <si>
    <t>Total points counted</t>
  </si>
  <si>
    <t>Missing sections</t>
  </si>
  <si>
    <t>Estimated volume (mm³)</t>
  </si>
  <si>
    <t>Shape Factor</t>
  </si>
  <si>
    <t>Excel File Name</t>
  </si>
  <si>
    <t>Estimated volume adjusted for missing sections (mm³)</t>
  </si>
  <si>
    <t>Final Estimated volume (mm³)</t>
  </si>
  <si>
    <t>F14.2_Hp_Vol.xlsx</t>
  </si>
  <si>
    <t>F14-2_Hp_Adjusted.dat</t>
  </si>
  <si>
    <t>Marker 3</t>
  </si>
  <si>
    <t>none</t>
  </si>
  <si>
    <t>G1.5_Hp_Vol.xlsx</t>
  </si>
  <si>
    <t>G1.5_hp.dat</t>
  </si>
  <si>
    <t>W3.3_Hp_Vol.xlsx</t>
  </si>
  <si>
    <t>W3-3_Hp_Adjusted.DAT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</si>
</sst>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#,##0.0"/>
    <numFmt numFmtId="166" formatCode="0.00000"/>
    <numFmt numFmtId="167" formatCode="0.000"/>
    <numFmt numFmtId="168" formatCode="0.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164" fontId="0" fillId="0" borderId="0" xfId="0" applyNumberFormat="1"/>
    <xf numFmtId="4" fontId="0" fillId="0" borderId="0" xfId="0" applyNumberFormat="1"/>
    <xf numFmtId="1" fontId="0" fillId="0" borderId="0" xfId="0" applyNumberForma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4" fontId="2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164" fontId="2" fillId="0" borderId="0" xfId="0" applyNumberFormat="1" applyFont="1" applyAlignment="1">
      <alignment horizontal="left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67" fontId="0" fillId="0" borderId="0" xfId="0" applyNumberFormat="1"/>
    <xf numFmtId="167" fontId="1" fillId="0" borderId="0" xfId="0" applyNumberFormat="1" applyFont="1"/>
    <xf numFmtId="164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wrapText="1"/>
    </xf>
    <xf numFmtId="165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left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168" fontId="1" fillId="0" borderId="0" xfId="0" applyNumberFormat="1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49" fontId="0" fillId="0" borderId="0" xfId="0" applyNumberFormat="1"/>
    <xf numFmtId="3" fontId="0" fillId="0" borderId="0" xfId="0" applyNumberFormat="1"/>
    <xf numFmtId="168" fontId="0" fillId="0" borderId="0" xfId="0" applyNumberFormat="1"/>
    <xf numFmtId="0" fontId="1" fillId="0" borderId="0" xfId="0" applyFont="1"/>
    <xf numFmtId="49" fontId="1" fillId="0" borderId="0" xfId="0" applyNumberFormat="1" applyFont="1"/>
    <xf numFmtId="3" fontId="1" fillId="0" borderId="0" xfId="0" applyNumberFormat="1" applyFont="1"/>
    <xf numFmtId="168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6FE19-3ED9-475F-8651-614DCA364202}">
  <sheetPr codeName="Sheet1"/>
  <dimension ref="A1:Z1"/>
  <sheetViews>
    <sheetView zoomScale="90" zoomScaleNormal="90" workbookViewId="0"/>
  </sheetViews>
  <sheetFormatPr defaultColWidth="8.85546875" defaultRowHeight="15" x14ac:dyDescent="0.25"/>
  <cols>
    <col min="1" max="1" width="47.85546875" style="12" bestFit="1" customWidth="1"/>
    <col min="2" max="2" width="12.7109375" style="13" bestFit="1" customWidth="1"/>
    <col min="3" max="3" width="8.5703125" style="13" bestFit="1" customWidth="1"/>
    <col min="4" max="4" width="14.5703125" style="13" bestFit="1" customWidth="1"/>
    <col min="5" max="5" width="14.85546875" style="13" bestFit="1" customWidth="1"/>
    <col min="6" max="6" width="10.5703125" style="13" bestFit="1" customWidth="1"/>
    <col min="7" max="7" width="10.85546875" style="13" bestFit="1" customWidth="1"/>
    <col min="8" max="8" width="8.42578125" style="13" bestFit="1" customWidth="1"/>
    <col min="9" max="9" width="10.85546875" style="13" bestFit="1" customWidth="1"/>
    <col min="10" max="12" width="7.42578125" style="14" bestFit="1" customWidth="1"/>
    <col min="13" max="13" width="9.42578125" style="13" bestFit="1" customWidth="1"/>
    <col min="14" max="14" width="11.5703125" style="15" bestFit="1" customWidth="1"/>
    <col min="15" max="15" width="19.85546875" style="15" bestFit="1" customWidth="1"/>
    <col min="16" max="26" width="8.85546875" style="11"/>
  </cols>
  <sheetData>
    <row r="1" spans="1:15" ht="63" x14ac:dyDescent="0.25">
      <c r="A1" s="10" t="s">
        <v>4</v>
      </c>
      <c r="B1" s="4" t="s">
        <v>15</v>
      </c>
      <c r="C1" s="4" t="s">
        <v>16</v>
      </c>
      <c r="D1" s="5" t="s">
        <v>20</v>
      </c>
      <c r="E1" s="5" t="s">
        <v>21</v>
      </c>
      <c r="F1" s="5" t="s">
        <v>17</v>
      </c>
      <c r="G1" s="5" t="s">
        <v>18</v>
      </c>
      <c r="H1" s="5" t="s">
        <v>19</v>
      </c>
      <c r="I1" s="5" t="s">
        <v>22</v>
      </c>
      <c r="J1" s="6" t="s">
        <v>0</v>
      </c>
      <c r="K1" s="6" t="s">
        <v>1</v>
      </c>
      <c r="L1" s="6" t="s">
        <v>2</v>
      </c>
      <c r="M1" s="5" t="s">
        <v>3</v>
      </c>
      <c r="N1" s="7" t="s">
        <v>23</v>
      </c>
      <c r="O1" s="7" t="s">
        <v>24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E1302-3B33-411C-8C91-9FFEC949D351}">
  <sheetPr codeName="Sheet2"/>
  <dimension ref="A1:AA32"/>
  <sheetViews>
    <sheetView workbookViewId="0">
      <selection activeCell="G6" sqref="G6"/>
    </sheetView>
  </sheetViews>
  <sheetFormatPr defaultColWidth="8.85546875" defaultRowHeight="15" x14ac:dyDescent="0.25"/>
  <cols>
    <col min="1" max="1" width="52.5703125" style="12" bestFit="1" customWidth="1"/>
    <col min="2" max="2" width="6.42578125" style="11" bestFit="1" customWidth="1"/>
    <col min="3" max="3" width="6.85546875" style="11" bestFit="1" customWidth="1"/>
    <col min="4" max="4" width="18.7109375" style="24" bestFit="1" customWidth="1"/>
    <col min="5" max="5" width="17.42578125" style="24" bestFit="1" customWidth="1"/>
    <col min="6" max="6" width="17.28515625" style="13" customWidth="1"/>
    <col min="7" max="7" width="10.42578125" style="11" bestFit="1" customWidth="1"/>
    <col min="8" max="8" width="10.85546875" style="11" customWidth="1"/>
    <col min="9" max="9" width="17.7109375" style="11" bestFit="1" customWidth="1"/>
    <col min="10" max="12" width="10.42578125" style="11" bestFit="1" customWidth="1"/>
    <col min="13" max="13" width="7.28515625" style="11" bestFit="1" customWidth="1"/>
    <col min="14" max="14" width="6.28515625" style="11" bestFit="1" customWidth="1"/>
    <col min="15" max="15" width="15.85546875" style="11" bestFit="1" customWidth="1"/>
    <col min="16" max="16" width="6.28515625" style="11" bestFit="1" customWidth="1"/>
    <col min="17" max="17" width="35.85546875" style="11" bestFit="1" customWidth="1"/>
    <col min="18" max="18" width="17.28515625" style="11" bestFit="1" customWidth="1"/>
    <col min="19" max="19" width="6.28515625" style="11" bestFit="1" customWidth="1"/>
    <col min="20" max="20" width="27.28515625" style="11" bestFit="1" customWidth="1"/>
    <col min="21" max="21" width="17.28515625" style="11" bestFit="1" customWidth="1"/>
    <col min="22" max="22" width="6.28515625" style="11" bestFit="1" customWidth="1"/>
    <col min="23" max="23" width="27.28515625" style="11" bestFit="1" customWidth="1"/>
    <col min="24" max="24" width="17.28515625" style="11" bestFit="1" customWidth="1"/>
    <col min="25" max="25" width="6.28515625" style="11" bestFit="1" customWidth="1"/>
    <col min="26" max="26" width="35.85546875" style="11" bestFit="1" customWidth="1"/>
    <col min="27" max="27" width="17.28515625" style="1" bestFit="1" customWidth="1"/>
  </cols>
  <sheetData>
    <row r="1" spans="1:12" ht="60" x14ac:dyDescent="0.25">
      <c r="A1" s="20" t="s">
        <v>4</v>
      </c>
      <c r="B1" s="21" t="s">
        <v>12</v>
      </c>
      <c r="C1" s="21" t="s">
        <v>13</v>
      </c>
      <c r="D1" s="22" t="s">
        <v>5</v>
      </c>
      <c r="E1" s="22" t="s">
        <v>11</v>
      </c>
      <c r="F1" s="3" t="s">
        <v>14</v>
      </c>
      <c r="G1" s="21" t="s">
        <v>6</v>
      </c>
      <c r="H1" s="21" t="s">
        <v>7</v>
      </c>
      <c r="I1" s="23"/>
      <c r="J1" s="23"/>
      <c r="K1" s="23"/>
      <c r="L1" s="23"/>
    </row>
    <row r="7" spans="1:12" x14ac:dyDescent="0.25">
      <c r="A7" s="25"/>
    </row>
    <row r="8" spans="1:12" x14ac:dyDescent="0.25">
      <c r="A8" s="25"/>
    </row>
    <row r="9" spans="1:12" x14ac:dyDescent="0.25">
      <c r="A9" s="25"/>
    </row>
    <row r="10" spans="1:12" x14ac:dyDescent="0.25">
      <c r="A10" s="25"/>
    </row>
    <row r="11" spans="1:12" x14ac:dyDescent="0.25">
      <c r="A11" s="25"/>
    </row>
    <row r="12" spans="1:12" x14ac:dyDescent="0.25">
      <c r="A12" s="25"/>
    </row>
    <row r="13" spans="1:12" x14ac:dyDescent="0.25">
      <c r="A13" s="25"/>
    </row>
    <row r="14" spans="1:12" x14ac:dyDescent="0.25">
      <c r="A1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5009-2E1A-4367-82D4-DA0F00443FA1}">
  <sheetPr codeName="Sheet470554X765"/>
  <dimension ref="A1:F12"/>
  <sheetViews>
    <sheetView workbookViewId="0">
      <selection activeCell="A5" sqref="A5"/>
    </sheetView>
  </sheetViews>
  <sheetFormatPr defaultColWidth="8.85546875" defaultRowHeight="15" x14ac:dyDescent="0.25"/>
  <cols>
    <col min="1" max="1" width="8" style="2" bestFit="1" customWidth="1"/>
    <col min="2" max="2" width="9.28515625" style="16" bestFit="1" customWidth="1"/>
    <col min="3" max="3" width="16" style="18" bestFit="1" customWidth="1"/>
    <col min="4" max="4" width="19.5703125" bestFit="1" customWidth="1"/>
    <col min="5" max="5" width="16.5703125" style="18" customWidth="1"/>
    <col min="6" max="6" width="18.140625" style="18" customWidth="1"/>
  </cols>
  <sheetData>
    <row r="1" spans="1:6" ht="60" x14ac:dyDescent="0.25">
      <c r="A1" s="4" t="s">
        <v>10</v>
      </c>
      <c r="B1" s="3" t="s">
        <v>25</v>
      </c>
      <c r="C1" s="8" t="s">
        <v>8</v>
      </c>
      <c r="D1" s="9" t="s">
        <v>26</v>
      </c>
      <c r="E1" s="9" t="s">
        <v>27</v>
      </c>
      <c r="F1" s="9" t="s">
        <v>9</v>
      </c>
    </row>
    <row r="12" spans="1:6" x14ac:dyDescent="0.25">
      <c r="B12" s="17"/>
      <c r="C12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F6F27-601E-414F-B502-A7383746B222}">
  <sheetPr codeName="Sheet5"/>
  <dimension ref="A1:P6"/>
  <sheetViews>
    <sheetView tabSelected="1" zoomScaleNormal="100"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1" max="1" width="16.5703125" style="32" customWidth="1"/>
    <col min="2" max="2" width="24" style="32" bestFit="1" customWidth="1"/>
    <col min="3" max="3" width="9.140625" style="32" bestFit="1" customWidth="1"/>
    <col min="4" max="4" width="14.140625" style="16" bestFit="1" customWidth="1"/>
    <col min="5" max="5" width="17.7109375" style="16" bestFit="1" customWidth="1"/>
    <col min="6" max="6" width="8.7109375" style="16" bestFit="1" customWidth="1"/>
    <col min="7" max="7" width="11.140625" style="33" bestFit="1" customWidth="1"/>
    <col min="8" max="8" width="13.85546875" style="34" bestFit="1" customWidth="1"/>
    <col min="9" max="9" width="11.85546875" style="16" bestFit="1" customWidth="1"/>
    <col min="10" max="10" width="11.42578125" style="16" bestFit="1" customWidth="1"/>
    <col min="11" max="11" width="8.28515625" style="16" bestFit="1" customWidth="1"/>
    <col min="12" max="12" width="13.85546875" style="18" bestFit="1" customWidth="1"/>
    <col min="13" max="13" width="25.7109375" bestFit="1" customWidth="1"/>
    <col min="14" max="14" width="18.140625" style="18" bestFit="1" customWidth="1"/>
    <col min="15" max="15" width="6.42578125" style="18" bestFit="1" customWidth="1"/>
    <col min="16" max="16" width="14.7109375" bestFit="1" customWidth="1"/>
  </cols>
  <sheetData>
    <row r="1" spans="1:16" s="26" customFormat="1" ht="42" customHeight="1" x14ac:dyDescent="0.25">
      <c r="A1" s="27" t="s">
        <v>39</v>
      </c>
      <c r="B1" s="27" t="s">
        <v>10</v>
      </c>
      <c r="C1" s="27" t="s">
        <v>28</v>
      </c>
      <c r="D1" s="28" t="s">
        <v>29</v>
      </c>
      <c r="E1" s="28" t="s">
        <v>30</v>
      </c>
      <c r="F1" s="28" t="s">
        <v>31</v>
      </c>
      <c r="G1" s="29" t="s">
        <v>32</v>
      </c>
      <c r="H1" s="30" t="s">
        <v>33</v>
      </c>
      <c r="I1" s="28" t="s">
        <v>34</v>
      </c>
      <c r="J1" s="28" t="s">
        <v>35</v>
      </c>
      <c r="K1" s="28" t="s">
        <v>36</v>
      </c>
      <c r="L1" s="31" t="s">
        <v>37</v>
      </c>
      <c r="M1" s="26" t="s">
        <v>40</v>
      </c>
      <c r="N1" s="31" t="s">
        <v>9</v>
      </c>
      <c r="O1" s="31" t="s">
        <v>38</v>
      </c>
      <c r="P1" s="31" t="s">
        <v>41</v>
      </c>
    </row>
    <row r="2" spans="1:16" s="35" customFormat="1" x14ac:dyDescent="0.25">
      <c r="A2" s="36" t="s">
        <v>42</v>
      </c>
      <c r="B2" s="36" t="s">
        <v>43</v>
      </c>
      <c r="C2" s="36" t="s">
        <v>44</v>
      </c>
      <c r="D2" s="17">
        <v>20</v>
      </c>
      <c r="E2" s="17">
        <v>20</v>
      </c>
      <c r="F2" s="17">
        <v>50</v>
      </c>
      <c r="G2" s="37">
        <v>2500</v>
      </c>
      <c r="H2" s="38">
        <v>1E-3</v>
      </c>
      <c r="I2" s="17">
        <v>13</v>
      </c>
      <c r="J2" s="17">
        <v>3808</v>
      </c>
      <c r="K2" s="17">
        <v>0</v>
      </c>
      <c r="L2" s="19">
        <v>3.8079999999999998</v>
      </c>
      <c r="M2" s="35" t="s">
        <v>45</v>
      </c>
      <c r="N2" s="19">
        <v>0.01</v>
      </c>
      <c r="O2" s="19">
        <v>4.74</v>
      </c>
      <c r="P2" s="35">
        <f>IF(M2="none",L2,M2)</f>
        <v>3.8079999999999998</v>
      </c>
    </row>
    <row r="3" spans="1:16" s="35" customFormat="1" x14ac:dyDescent="0.25">
      <c r="A3" s="36" t="s">
        <v>46</v>
      </c>
      <c r="B3" s="36" t="s">
        <v>47</v>
      </c>
      <c r="C3" s="36" t="s">
        <v>44</v>
      </c>
      <c r="D3" s="17">
        <v>20</v>
      </c>
      <c r="E3" s="17">
        <v>20</v>
      </c>
      <c r="F3" s="17">
        <v>50</v>
      </c>
      <c r="G3" s="37">
        <v>2500</v>
      </c>
      <c r="H3" s="38">
        <v>1E-3</v>
      </c>
      <c r="I3" s="17">
        <v>13</v>
      </c>
      <c r="J3" s="17">
        <v>4403</v>
      </c>
      <c r="K3" s="17">
        <v>0</v>
      </c>
      <c r="L3" s="19">
        <v>4.4029999999999996</v>
      </c>
      <c r="M3" s="35" t="s">
        <v>45</v>
      </c>
      <c r="N3" s="19">
        <v>1.9E-2</v>
      </c>
      <c r="O3" s="19">
        <v>5.74</v>
      </c>
      <c r="P3" s="35">
        <f t="shared" ref="P3:P4" si="0">IF(M3="none",L3,M3)</f>
        <v>4.4029999999999996</v>
      </c>
    </row>
    <row r="4" spans="1:16" s="35" customFormat="1" x14ac:dyDescent="0.25">
      <c r="A4" s="36" t="s">
        <v>48</v>
      </c>
      <c r="B4" s="36" t="s">
        <v>49</v>
      </c>
      <c r="C4" s="36" t="s">
        <v>44</v>
      </c>
      <c r="D4" s="17">
        <v>20</v>
      </c>
      <c r="E4" s="17">
        <v>20</v>
      </c>
      <c r="F4" s="17">
        <v>50</v>
      </c>
      <c r="G4" s="37">
        <v>2500</v>
      </c>
      <c r="H4" s="38">
        <v>1E-3</v>
      </c>
      <c r="I4" s="17">
        <v>11</v>
      </c>
      <c r="J4" s="17">
        <v>4063</v>
      </c>
      <c r="K4" s="17">
        <v>1</v>
      </c>
      <c r="L4" s="19">
        <v>4.0629999999999997</v>
      </c>
      <c r="M4" s="35">
        <v>4.5179999999999998</v>
      </c>
      <c r="N4" s="19">
        <v>2.1000000000000001E-2</v>
      </c>
      <c r="O4" s="19">
        <v>4.84</v>
      </c>
      <c r="P4" s="35">
        <f t="shared" si="0"/>
        <v>4.5179999999999998</v>
      </c>
    </row>
    <row r="5" spans="1:16" x14ac:dyDescent="0.25">
      <c r="P5" s="35"/>
    </row>
    <row r="6" spans="1:16" x14ac:dyDescent="0.25">
      <c r="P6" s="3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cf929f1-bb7f-4bef-b4fa-2c3c6ee4ee1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6D3661B1345B4DBFE03E6C98BC0700" ma:contentTypeVersion="10" ma:contentTypeDescription="Create a new document." ma:contentTypeScope="" ma:versionID="8927f89ebd50e5f157830b7d72fa7942">
  <xsd:schema xmlns:xsd="http://www.w3.org/2001/XMLSchema" xmlns:xs="http://www.w3.org/2001/XMLSchema" xmlns:p="http://schemas.microsoft.com/office/2006/metadata/properties" xmlns:ns2="dcf929f1-bb7f-4bef-b4fa-2c3c6ee4ee1e" targetNamespace="http://schemas.microsoft.com/office/2006/metadata/properties" ma:root="true" ma:fieldsID="ec0a2b43b31abfa7425ebdcd2c081d1f" ns2:_="">
    <xsd:import namespace="dcf929f1-bb7f-4bef-b4fa-2c3c6ee4ee1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f929f1-bb7f-4bef-b4fa-2c3c6ee4ee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2baaf764-73f0-4b4c-b8e1-b7d465e080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2FBDCFD-AE72-40E7-B99F-A85BB18491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C1CAEF8-1EF4-4566-A3F7-298914C9D0A0}">
  <ds:schemaRefs>
    <ds:schemaRef ds:uri="http://schemas.microsoft.com/office/2006/metadata/properties"/>
    <ds:schemaRef ds:uri="http://schemas.microsoft.com/office/infopath/2007/PartnerControls"/>
    <ds:schemaRef ds:uri="f5a1be10-6241-42d7-ad49-ecb9a3d8f9fb"/>
    <ds:schemaRef ds:uri="dcf929f1-bb7f-4bef-b4fa-2c3c6ee4ee1e"/>
  </ds:schemaRefs>
</ds:datastoreItem>
</file>

<file path=customXml/itemProps3.xml><?xml version="1.0" encoding="utf-8"?>
<ds:datastoreItem xmlns:ds="http://schemas.openxmlformats.org/officeDocument/2006/customXml" ds:itemID="{F93A8901-8B8D-496B-AFE8-9CA038F3A1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f929f1-bb7f-4bef-b4fa-2c3c6ee4ee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Parameters-OpticalFractionator</vt:lpstr>
      <vt:lpstr>DataSummary-OpticalFractionator</vt:lpstr>
      <vt:lpstr>DataSummary-CavalieriEstimator</vt:lpstr>
      <vt:lpstr>DataSummary-CavalieriParameters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Pereira</dc:creator>
  <cp:lastModifiedBy>Patrick Pereira, Dr</cp:lastModifiedBy>
  <dcterms:created xsi:type="dcterms:W3CDTF">2019-12-21T23:33:15Z</dcterms:created>
  <dcterms:modified xsi:type="dcterms:W3CDTF">2026-05-23T20:13:48Z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0x010100866D3661B1345B4DBFE03E6C98BC0700</vt:lpwstr>
  </property>
  <property fmtid="{D5CDD505-2E9C-101B-9397-08002B2CF9AE}" pid="3" name="MediaServiceImageTags">
    <vt:lpwstr/>
  </property>
</Properties>
</file>